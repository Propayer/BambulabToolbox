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f2e625579a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lisis" sheetId="1" r:id="R8a21fae60ce54ed2"/>
    <x:sheet xmlns:r="http://schemas.openxmlformats.org/officeDocument/2006/relationships" name="Configuracion" sheetId="2" r:id="R7d8a974ca5fe47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€#,##0.00"/>
    <x:numFmt numFmtId="202" formatCode="yyyy-mm-dd hh:mm"/>
    <x:numFmt numFmtId="203" formatCode="0.0"/>
    <x:numFmt numFmtId="204" formatCode="€0.0000"/>
    <x:numFmt numFmtId="205" formatCode="0.0x"/>
  </x:numFmts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17202A"/>
      <x:name val="Carlito"/>
    </x:font>
    <x:font>
      <x:b/>
      <x:sz val="11"/>
      <x:color rgb="FF187A43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202A"/>
      <x:name val="Carlito"/>
    </x:font>
    <x:font>
      <x:sz val="11"/>
      <x:color rgb="FF0000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2A"/>
      </x:patternFill>
    </x:fill>
    <x:fill>
      <x:patternFill patternType="solid">
        <x:fgColor rgb="FFEAF7EF"/>
      </x:patternFill>
    </x:fill>
    <x:fill>
      <x:patternFill patternType="solid">
        <x:fgColor rgb="FF187A4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8F9F9"/>
      </x:patternFill>
    </x:fill>
  </x:fills>
  <x:borders count="16">
    <x:border/>
    <x:border>
      <x:left style="thin">
        <x:color rgb="FF145A32"/>
      </x:left>
      <x:top style="thin">
        <x:color rgb="FF145A32"/>
      </x:top>
      <x:bottom style="thin">
        <x:color rgb="FF145A32"/>
      </x:bottom>
    </x:border>
    <x:border>
      <x:top style="thin">
        <x:color rgb="FF145A32"/>
      </x:top>
      <x:bottom style="thin">
        <x:color rgb="FF145A32"/>
      </x:bottom>
    </x:border>
    <x:border>
      <x:right style="thin">
        <x:color rgb="FF145A32"/>
      </x:right>
      <x:top style="thin">
        <x:color rgb="FF145A32"/>
      </x:top>
      <x:bottom style="thin">
        <x:color rgb="FF145A32"/>
      </x:bottom>
    </x:border>
    <x:border>
      <x:right style="thin">
        <x:color rgb="FFE5E7E9"/>
      </x:right>
    </x:border>
    <x:border>
      <x:left style="thin">
        <x:color rgb="FFE5E7E9"/>
      </x:left>
      <x:right style="thin">
        <x:color rgb="FFE5E7E9"/>
      </x:right>
    </x:border>
    <x:border>
      <x:left style="thin">
        <x:color rgb="FFE5E7E9"/>
      </x:left>
    </x:border>
    <x:border>
      <x:right style="thin">
        <x:color rgb="FFD5D8DC"/>
      </x:right>
      <x:bottom style="thin">
        <x:color rgb="FFD5D8DC"/>
      </x:bottom>
    </x:border>
    <x:border>
      <x:left style="thin">
        <x:color rgb="FFD5D8DC"/>
      </x:left>
      <x:right style="thin">
        <x:color rgb="FFD5D8DC"/>
      </x:right>
      <x:bottom style="thin">
        <x:color rgb="FFD5D8DC"/>
      </x:bottom>
    </x:border>
    <x:border>
      <x:left style="thin">
        <x:color rgb="FFD5D8DC"/>
      </x:left>
      <x:bottom style="thin">
        <x:color rgb="FFD5D8DC"/>
      </x:bottom>
    </x:border>
    <x:border>
      <x:right style="thin">
        <x:color rgb="FFD5D8DC"/>
      </x:right>
      <x:top style="thin">
        <x:color rgb="FFD5D8DC"/>
      </x:top>
      <x:bottom style="thin">
        <x:color rgb="FFD5D8DC"/>
      </x:bottom>
    </x:border>
    <x:border>
      <x:left style="thin">
        <x:color rgb="FFD5D8DC"/>
      </x:left>
      <x:right style="thin">
        <x:color rgb="FFD5D8DC"/>
      </x:right>
      <x:top style="thin">
        <x:color rgb="FFD5D8DC"/>
      </x:top>
      <x:bottom style="thin">
        <x:color rgb="FFD5D8DC"/>
      </x:bottom>
    </x:border>
    <x:border>
      <x:left style="thin">
        <x:color rgb="FFD5D8DC"/>
      </x:left>
      <x:top style="thin">
        <x:color rgb="FFD5D8DC"/>
      </x:top>
      <x:bottom style="thin">
        <x:color rgb="FFD5D8DC"/>
      </x:bottom>
    </x:border>
    <x:border>
      <x:right style="thin">
        <x:color rgb="FFD5D8DC"/>
      </x:right>
      <x:top style="thin">
        <x:color rgb="FFD5D8DC"/>
      </x:top>
    </x:border>
    <x:border>
      <x:left style="thin">
        <x:color rgb="FFD5D8DC"/>
      </x:left>
      <x:right style="thin">
        <x:color rgb="FFD5D8DC"/>
      </x:right>
      <x:top style="thin">
        <x:color rgb="FFD5D8DC"/>
      </x:top>
    </x:border>
    <x:border>
      <x:left style="thin">
        <x:color rgb="FFD5D8DC"/>
      </x:left>
      <x:top style="thin">
        <x:color rgb="FFD5D8DC"/>
      </x:top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vertical="center"/>
    </x:xf>
    <x:xf numFmtId="0" fontId="2" fillId="5" borderId="5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202" fontId="2" fillId="5" borderId="4" xfId="0" applyNumberFormat="1" applyFont="1" applyFill="1" applyBorder="1" applyAlignment="1">
      <x:alignment vertical="center"/>
    </x:xf>
    <x:xf numFmtId="203" fontId="2" fillId="5" borderId="5" xfId="0" applyNumberFormat="1" applyFont="1" applyFill="1" applyBorder="1" applyAlignment="1">
      <x:alignment vertical="center"/>
    </x:xf>
    <x:xf numFmtId="201" fontId="2" fillId="5" borderId="5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/>
    </x:xf>
    <x:xf numFmtId="0" fontId="0" fillId="6" borderId="8" xfId="0" applyNumberFormat="1" applyFont="1" applyFill="1" applyBorder="1" applyAlignment="1">
      <x:alignment vertical="center"/>
    </x:xf>
    <x:xf numFmtId="0" fontId="0" fillId="6" borderId="11" xfId="0" applyNumberFormat="1" applyFont="1" applyFill="1" applyBorder="1" applyAlignment="1">
      <x:alignment vertical="center"/>
    </x:xf>
    <x:xf numFmtId="0" fontId="0" fillId="6" borderId="14" xfId="0" applyNumberFormat="1" applyFont="1" applyFill="1" applyBorder="1" applyAlignment="1">
      <x:alignment vertical="center"/>
    </x:xf>
    <x:xf numFmtId="0" fontId="7" fillId="6" borderId="8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7" fillId="6" borderId="14" xfId="0" applyNumberFormat="1" applyFont="1" applyFill="1" applyBorder="1" applyAlignment="1">
      <x:alignment vertical="center"/>
    </x:xf>
    <x:xf numFmtId="204" fontId="7" fillId="6" borderId="8" xfId="0" applyNumberFormat="1" applyFont="1" applyFill="1" applyBorder="1" applyAlignment="1">
      <x:alignment vertical="center"/>
    </x:xf>
    <x:xf numFmtId="204" fontId="7" fillId="6" borderId="11" xfId="0" applyNumberFormat="1" applyFont="1" applyFill="1" applyBorder="1" applyAlignment="1">
      <x:alignment vertical="center"/>
    </x:xf>
    <x:xf numFmtId="205" fontId="7" fillId="6" borderId="1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6359bb6d084904" /><Relationship Type="http://schemas.openxmlformats.org/officeDocument/2006/relationships/theme" Target="/xl/theme/theme1.xml" Id="R0c203c3a33f644f0" /><Relationship Type="http://schemas.openxmlformats.org/officeDocument/2006/relationships/sharedStrings" Target="/xl/sharedStrings.xml" Id="R180382c8f3c84d63" /><Relationship Type="http://schemas.openxmlformats.org/officeDocument/2006/relationships/worksheet" Target="/xl/worksheets/sheet1.xml" Id="R8a21fae60ce54ed2" /><Relationship Type="http://schemas.openxmlformats.org/officeDocument/2006/relationships/worksheet" Target="/xl/worksheets/sheet2.xml" Id="R7d8a974ca5fe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45" hidden="0" customWidth="1"/>
    <x:col min="5" max="5" width="12" hidden="0" customWidth="1"/>
    <x:col min="6" max="6" width="12" hidden="0" customWidth="1"/>
    <x:col min="7" max="7" width="22" hidden="0" customWidth="1"/>
    <x:col min="8" max="8" width="14" hidden="0" customWidth="1"/>
    <x:col min="9" max="9" width="12" hidden="0" customWidth="1"/>
    <x:col min="10" max="10" width="17" hidden="0" customWidth="1"/>
    <x:col min="11" max="11" width="14" hidden="0" customWidth="1"/>
    <x:col min="12" max="12" width="18" hidden="0" customWidth="1"/>
    <x:col min="13" max="13" width="38" hidden="0" customWidth="1"/>
    <x:col min="14" max="14" width="18" hidden="0" customWidth="1"/>
    <x:col min="15" max="15" width="24" hidden="0" customWidth="1"/>
  </x:cols>
  <x:sheetData>
    <x:row r="1" ht="34" customHeight="1">
      <x:c r="A1" s="4" t="str">
        <x:v>JARVIS · ANÁLISIS DE PIEZAS 3D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8" t="str">
        <x:v>Piezas registradas</x:v>
      </x:c>
      <x:c r="B2" s="9" t="n">
        <x:f>COUNTA(B5:B1004)</x:f>
        <x:v>0</x:v>
      </x:c>
      <x:c r="C2" s="7" t="str">
        <x:v>Coste de filamento</x:v>
      </x:c>
      <x:c r="D2" s="10" t="n">
        <x:f>SUM(J5:J1004)</x:f>
        <x:v>0</x:v>
      </x:c>
      <x:c r="E2" s="7" t="str">
        <x:v>Desgaste</x:v>
      </x:c>
      <x:c r="F2" s="7" t="n">
        <x:f>SUM(K5:K1004)</x:f>
        <x:v>0</x:v>
      </x:c>
      <x:c r="G2" s="7" t="str">
        <x:v>Venta estimada</x:v>
      </x:c>
      <x:c r="H2" s="7" t="n">
        <x:f>SUM(L5:L1004)</x:f>
        <x:v>0</x:v>
      </x:c>
    </x:row>
    <x:row r="4" ht="32" customHeight="1">
      <x:c r="A4" s="22" t="str">
        <x:v>Fecha</x:v>
      </x:c>
      <x:c r="B4" s="23" t="str">
        <x:v>Pieza</x:v>
      </x:c>
      <x:c r="C4" s="23" t="str">
        <x:v>Vista previa</x:v>
      </x:c>
      <x:c r="D4" s="23" t="str">
        <x:v>Archivo</x:v>
      </x:c>
      <x:c r="E4" s="23" t="str">
        <x:v>Máquina</x:v>
      </x:c>
      <x:c r="F4" s="23" t="str">
        <x:v>Material</x:v>
      </x:c>
      <x:c r="G4" s="23" t="str">
        <x:v>Perfil</x:v>
      </x:c>
      <x:c r="H4" s="23" t="str">
        <x:v>Tiempo (min)</x:v>
      </x:c>
      <x:c r="I4" s="23" t="str">
        <x:v>Peso (g)</x:v>
      </x:c>
      <x:c r="J4" s="23" t="str">
        <x:v>Coste filamento</x:v>
      </x:c>
      <x:c r="K4" s="23" t="str">
        <x:v>Desgaste</x:v>
      </x:c>
      <x:c r="L4" s="23" t="str">
        <x:v>Venta aproximada</x:v>
      </x:c>
      <x:c r="M4" s="23" t="str">
        <x:v>Observaciones</x:v>
      </x:c>
      <x:c r="N4" s="23" t="str">
        <x:v>ID interno</x:v>
      </x:c>
      <x:c r="O4" s="24" t="str">
        <x:v>Sincronización</x:v>
      </x:c>
    </x:row>
    <x:row r="5" ht="78" customHeight="1">
      <x:c r="A5" s="33"/>
      <x:c r="B5" s="31"/>
      <x:c r="C5" s="31"/>
      <x:c r="D5" s="31"/>
      <x:c r="E5" s="31"/>
      <x:c r="F5" s="31"/>
      <x:c r="G5" s="31"/>
      <x:c r="H5" s="34"/>
      <x:c r="I5" s="34"/>
      <x:c r="J5" s="35"/>
      <x:c r="K5" s="35"/>
      <x:c r="L5" s="35"/>
      <x:c r="M5" s="31"/>
      <x:c r="N5" s="31"/>
      <x:c r="O5" s="32"/>
    </x:row>
  </x:sheetData>
  <x:mergeCells>
    <x:mergeCell ref="A1:O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4" hidden="0" customWidth="1"/>
    <x:col min="3" max="3" width="70" hidden="0" customWidth="1"/>
  </x:cols>
  <x:sheetData>
    <x:row r="1">
      <x:c r="A1" s="37" t="str">
        <x:v>CONFIGURACIÓN DEL ANÁLISIS</x:v>
      </x:c>
      <x:c r="B1" s="37"/>
      <x:c r="C1" s="37"/>
    </x:row>
    <x:row r="2">
      <x:c r="A2" s="56" t="str">
        <x:v>Coste de filamento por gramo</x:v>
      </x:c>
      <x:c r="B2" s="65" t="n">
        <x:v>0.0115</x:v>
      </x:c>
      <x:c r="C2" s="49" t="str">
        <x:v>Editable</x:v>
      </x:c>
    </x:row>
    <x:row r="3">
      <x:c r="A3" s="57" t="str">
        <x:v>Desgaste de máquina por hora</x:v>
      </x:c>
      <x:c r="B3" s="66" t="n">
        <x:v>0.2</x:v>
      </x:c>
      <x:c r="C3" s="52" t="str">
        <x:v>Editable</x:v>
      </x:c>
    </x:row>
    <x:row r="4">
      <x:c r="A4" s="57" t="str">
        <x:v>Multiplicador de filamento</x:v>
      </x:c>
      <x:c r="B4" s="67" t="n">
        <x:v>3</x:v>
      </x:c>
      <x:c r="C4" s="52" t="str">
        <x:v>Editable</x:v>
      </x:c>
    </x:row>
    <x:row r="5">
      <x:c r="A5" s="57" t="str">
        <x:v>Máquina predeterminada</x:v>
      </x:c>
      <x:c r="B5" s="63" t="str">
        <x:v>P2S</x:v>
      </x:c>
      <x:c r="C5" s="52" t="str">
        <x:v>Editable</x:v>
      </x:c>
    </x:row>
    <x:row r="6">
      <x:c r="A6" s="57" t="str">
        <x:v>Material predeterminado</x:v>
      </x:c>
      <x:c r="B6" s="63" t="str">
        <x:v>PLA</x:v>
      </x:c>
      <x:c r="C6" s="52" t="str">
        <x:v>Editable</x:v>
      </x:c>
    </x:row>
    <x:row r="7">
      <x:c r="A7" s="58" t="str">
        <x:v>Perfil predeterminado</x:v>
      </x:c>
      <x:c r="B7" s="64" t="str">
        <x:v>0.20 mm Standard</x:v>
      </x:c>
      <x:c r="C7" s="55" t="str">
        <x:v>Editable</x:v>
      </x:c>
    </x:row>
    <x:row r="9">
      <x:c r="A9" s="70" t="str">
        <x:v>Fórmula</x:v>
      </x:c>
      <x:c r="B9" s="70" t="str">
        <x:v>Precio de venta</x:v>
      </x:c>
      <x:c r="C9" s="70" t="str">
        <x:v>(coste filamento × multiplicador) + desgaste</x:v>
      </x:c>
    </x:row>
    <x:row r="10">
      <x:c r="A10" s="70" t="str">
        <x:v>Referencia</x:v>
      </x:c>
      <x:c r="B10" s="70" t="str">
        <x:v>Precio P2S</x:v>
      </x:c>
      <x:c r="C10" s="70" t="str">
        <x:v>https://eu.store.bambulab.com/products/p2s</x:v>
      </x:c>
    </x:row>
    <x:row r="11">
      <x:c r="A11" s="70" t="str">
        <x:v>Referencia</x:v>
      </x:c>
      <x:c r="B11" s="70" t="str">
        <x:v>Mantenimiento P2S</x:v>
      </x:c>
      <x:c r="C11" s="70" t="str">
        <x:v>https://wiki.bambulab.com/en/p2s/maintenance/period-maintenance</x:v>
      </x:c>
    </x:row>
    <x:row r="12">
      <x:c r="A12" s="70" t="str">
        <x:v>Nota</x:v>
      </x:c>
      <x:c r="B12" s="70" t="str">
        <x:v>Desgaste</x:v>
      </x:c>
      <x:c r="C12" s="70" t="str">
        <x:v>Estimación acordada: 0,20 €/h; valor editable.</x:v>
      </x:c>
    </x:row>
  </x:sheetData>
  <x:mergeCells>
    <x:mergeCell ref="A1:C1"/>
  </x:mergeCells>
  <x:pageMargins left="0.7" right="0.7" top="0.75" bottom="0.75" header="0.3" footer="0.3"/>
</x:worksheet>
</file>